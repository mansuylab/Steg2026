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LSteg$/Animal Work/LPD1/ATAC-seq/Liver ATAC/Results/"/>
    </mc:Choice>
  </mc:AlternateContent>
  <xr:revisionPtr revIDLastSave="0" documentId="13_ncr:1_{2C416C8F-9C89-474B-9656-56CAA33E1DD1}" xr6:coauthVersionLast="47" xr6:coauthVersionMax="47" xr10:uidLastSave="{00000000-0000-0000-0000-000000000000}"/>
  <bookViews>
    <workbookView xWindow="5700" yWindow="600" windowWidth="25640" windowHeight="21820" activeTab="4" xr2:uid="{488850DB-44F1-754E-A955-89D0A571203F}"/>
  </bookViews>
  <sheets>
    <sheet name="Raw" sheetId="1" r:id="rId1"/>
    <sheet name="Enrichment F1" sheetId="2" r:id="rId2"/>
    <sheet name="Target F1" sheetId="3" r:id="rId3"/>
    <sheet name="Enrichment F0" sheetId="4" r:id="rId4"/>
    <sheet name="Target F0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11" i="1" l="1"/>
  <c r="AC11" i="1"/>
  <c r="Z11" i="1"/>
  <c r="W11" i="1"/>
  <c r="Q11" i="1"/>
  <c r="K11" i="1"/>
  <c r="E11" i="1"/>
  <c r="AF10" i="1"/>
  <c r="K10" i="1"/>
  <c r="H10" i="1"/>
  <c r="E10" i="1"/>
  <c r="AC9" i="1" l="1"/>
  <c r="AF9" i="1"/>
  <c r="AC8" i="1"/>
  <c r="AF8" i="1"/>
  <c r="AF4" i="1"/>
  <c r="AF5" i="1"/>
  <c r="AF6" i="1"/>
  <c r="AC4" i="1"/>
  <c r="AC5" i="1"/>
  <c r="AC6" i="1"/>
  <c r="AF3" i="1"/>
  <c r="AC3" i="1"/>
  <c r="Z9" i="1"/>
  <c r="Z8" i="1"/>
  <c r="W9" i="1"/>
  <c r="W8" i="1"/>
  <c r="T9" i="1"/>
  <c r="T8" i="1"/>
  <c r="Q9" i="1"/>
  <c r="Q8" i="1"/>
  <c r="N9" i="1"/>
  <c r="N8" i="1"/>
  <c r="K9" i="1"/>
  <c r="K8" i="1"/>
  <c r="H9" i="1"/>
  <c r="H8" i="1"/>
  <c r="E9" i="1"/>
  <c r="E8" i="1"/>
  <c r="E5" i="1"/>
  <c r="E6" i="1"/>
  <c r="H5" i="1"/>
  <c r="H6" i="1"/>
  <c r="K5" i="1"/>
  <c r="K6" i="1"/>
  <c r="N4" i="1"/>
  <c r="N5" i="1"/>
  <c r="N6" i="1"/>
  <c r="Q5" i="1"/>
  <c r="Q6" i="1"/>
  <c r="T4" i="1"/>
  <c r="T5" i="1"/>
  <c r="T6" i="1"/>
  <c r="W6" i="1"/>
  <c r="W4" i="1"/>
  <c r="W5" i="1"/>
  <c r="Z6" i="1"/>
  <c r="Z5" i="1"/>
  <c r="Q4" i="1"/>
  <c r="K4" i="1"/>
  <c r="H4" i="1"/>
  <c r="E4" i="1"/>
  <c r="Z3" i="1"/>
  <c r="W3" i="1"/>
  <c r="T3" i="1"/>
  <c r="Q3" i="1"/>
  <c r="N3" i="1"/>
  <c r="K3" i="1"/>
  <c r="H3" i="1"/>
  <c r="E3" i="1"/>
</calcChain>
</file>

<file path=xl/sharedStrings.xml><?xml version="1.0" encoding="utf-8"?>
<sst xmlns="http://schemas.openxmlformats.org/spreadsheetml/2006/main" count="104" uniqueCount="29">
  <si>
    <t>Males</t>
  </si>
  <si>
    <t>Up</t>
  </si>
  <si>
    <t>Down</t>
  </si>
  <si>
    <t>Females</t>
  </si>
  <si>
    <t>PPARa</t>
  </si>
  <si>
    <t>HNF4a</t>
  </si>
  <si>
    <t>HNF1</t>
  </si>
  <si>
    <t>PPARe</t>
  </si>
  <si>
    <t>HNF1b</t>
  </si>
  <si>
    <t>HNF6</t>
  </si>
  <si>
    <t>HNF6b</t>
  </si>
  <si>
    <t>%Target</t>
  </si>
  <si>
    <t>%Background</t>
  </si>
  <si>
    <t>Enrichment</t>
  </si>
  <si>
    <t>Atf7</t>
  </si>
  <si>
    <t>ATF7</t>
  </si>
  <si>
    <t>Males-Up</t>
  </si>
  <si>
    <t>Males-Down</t>
  </si>
  <si>
    <t>Females-Up</t>
  </si>
  <si>
    <t>Females-Down</t>
  </si>
  <si>
    <t>Foxa1 (HNF3) - MCF7-FOXA1</t>
  </si>
  <si>
    <t>Foxa1 (HNF3) - LNCAP-FOXA1</t>
  </si>
  <si>
    <t>FOXA1 (HNF3)</t>
  </si>
  <si>
    <t>B6 fathers</t>
  </si>
  <si>
    <t>PWK Fathers</t>
  </si>
  <si>
    <t>B6 Up</t>
  </si>
  <si>
    <t>B6 Down</t>
  </si>
  <si>
    <t>PWK Up</t>
  </si>
  <si>
    <t>PWK 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</si>
</sst>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0A8E8-F8E2-894A-97E6-F93313DF9DDD}">
  <dimension ref="A1:AF11"/>
  <sheetViews>
    <sheetView zoomScale="110" zoomScaleNormal="110" workbookViewId="0">
      <selection activeCell="X8" sqref="X8:X11"/>
    </sheetView>
  </sheetViews>
  <sheetFormatPr baseColWidth="10" defaultRowHeight="16" x14ac:dyDescent="0.2"/>
  <cols>
    <col min="4" max="4" width="12.1640625" bestFit="1" customWidth="1"/>
    <col min="5" max="5" width="10.5" bestFit="1" customWidth="1"/>
  </cols>
  <sheetData>
    <row r="1" spans="1:32" x14ac:dyDescent="0.2">
      <c r="C1" t="s">
        <v>4</v>
      </c>
      <c r="F1" t="s">
        <v>7</v>
      </c>
      <c r="I1" t="s">
        <v>5</v>
      </c>
      <c r="L1" t="s">
        <v>6</v>
      </c>
      <c r="O1" t="s">
        <v>9</v>
      </c>
      <c r="R1" t="s">
        <v>8</v>
      </c>
      <c r="U1" t="s">
        <v>10</v>
      </c>
      <c r="X1" t="s">
        <v>14</v>
      </c>
      <c r="AA1" t="s">
        <v>20</v>
      </c>
      <c r="AD1" t="s">
        <v>21</v>
      </c>
    </row>
    <row r="2" spans="1:32" x14ac:dyDescent="0.2">
      <c r="C2" t="s">
        <v>11</v>
      </c>
      <c r="D2" t="s">
        <v>12</v>
      </c>
      <c r="E2" t="s">
        <v>13</v>
      </c>
      <c r="F2" t="s">
        <v>11</v>
      </c>
      <c r="G2" t="s">
        <v>12</v>
      </c>
      <c r="H2" t="s">
        <v>13</v>
      </c>
      <c r="I2" t="s">
        <v>11</v>
      </c>
      <c r="J2" t="s">
        <v>12</v>
      </c>
      <c r="K2" t="s">
        <v>13</v>
      </c>
      <c r="L2" t="s">
        <v>11</v>
      </c>
      <c r="M2" t="s">
        <v>12</v>
      </c>
      <c r="N2" t="s">
        <v>13</v>
      </c>
      <c r="O2" t="s">
        <v>11</v>
      </c>
      <c r="P2" t="s">
        <v>12</v>
      </c>
      <c r="Q2" t="s">
        <v>13</v>
      </c>
      <c r="R2" t="s">
        <v>11</v>
      </c>
      <c r="S2" t="s">
        <v>12</v>
      </c>
      <c r="T2" t="s">
        <v>13</v>
      </c>
      <c r="U2" t="s">
        <v>11</v>
      </c>
      <c r="V2" t="s">
        <v>12</v>
      </c>
      <c r="W2" t="s">
        <v>13</v>
      </c>
      <c r="X2" t="s">
        <v>11</v>
      </c>
      <c r="Y2" t="s">
        <v>12</v>
      </c>
      <c r="Z2" t="s">
        <v>13</v>
      </c>
      <c r="AA2" t="s">
        <v>11</v>
      </c>
      <c r="AB2" t="s">
        <v>12</v>
      </c>
      <c r="AC2" t="s">
        <v>13</v>
      </c>
      <c r="AD2" t="s">
        <v>11</v>
      </c>
      <c r="AE2" t="s">
        <v>12</v>
      </c>
      <c r="AF2" t="s">
        <v>13</v>
      </c>
    </row>
    <row r="3" spans="1:32" x14ac:dyDescent="0.2">
      <c r="A3" t="s">
        <v>0</v>
      </c>
      <c r="B3" t="s">
        <v>1</v>
      </c>
      <c r="C3">
        <v>16.75</v>
      </c>
      <c r="D3">
        <v>10.119999999999999</v>
      </c>
      <c r="E3">
        <f>C3/D3</f>
        <v>1.6551383399209487</v>
      </c>
      <c r="F3">
        <v>15.14</v>
      </c>
      <c r="G3">
        <v>8.84</v>
      </c>
      <c r="H3">
        <f>F3/G3</f>
        <v>1.7126696832579187</v>
      </c>
      <c r="I3">
        <v>9.34</v>
      </c>
      <c r="J3">
        <v>4.7699999999999996</v>
      </c>
      <c r="K3">
        <f>I3/J3</f>
        <v>1.958071278825996</v>
      </c>
      <c r="L3">
        <v>2.9</v>
      </c>
      <c r="M3">
        <v>0.75</v>
      </c>
      <c r="N3">
        <f>L3/M3</f>
        <v>3.8666666666666667</v>
      </c>
      <c r="O3">
        <v>8.6999999999999993</v>
      </c>
      <c r="P3">
        <v>3.67</v>
      </c>
      <c r="Q3">
        <f>O3/P3</f>
        <v>2.3705722070844684</v>
      </c>
      <c r="R3">
        <v>2.58</v>
      </c>
      <c r="S3">
        <v>0.76</v>
      </c>
      <c r="T3">
        <f>R3/S3</f>
        <v>3.3947368421052633</v>
      </c>
      <c r="U3">
        <v>12.4</v>
      </c>
      <c r="V3">
        <v>6.42</v>
      </c>
      <c r="W3">
        <f>U3/V3</f>
        <v>1.9314641744548287</v>
      </c>
      <c r="X3">
        <v>5.96</v>
      </c>
      <c r="Y3">
        <v>3.71</v>
      </c>
      <c r="Z3">
        <f>X3/Y3</f>
        <v>1.6064690026954178</v>
      </c>
      <c r="AA3">
        <v>15.14</v>
      </c>
      <c r="AB3">
        <v>7.62</v>
      </c>
      <c r="AC3">
        <f>AA3/AB3</f>
        <v>1.9868766404199476</v>
      </c>
      <c r="AD3">
        <v>17.71</v>
      </c>
      <c r="AE3">
        <v>9.81</v>
      </c>
      <c r="AF3">
        <f>AD3/AE3</f>
        <v>1.8053007135575942</v>
      </c>
    </row>
    <row r="4" spans="1:32" x14ac:dyDescent="0.2">
      <c r="B4" t="s">
        <v>2</v>
      </c>
      <c r="C4">
        <v>22.76</v>
      </c>
      <c r="D4">
        <v>9.8000000000000007</v>
      </c>
      <c r="E4">
        <f>C4/D4</f>
        <v>2.3224489795918366</v>
      </c>
      <c r="F4">
        <v>15.95</v>
      </c>
      <c r="G4">
        <v>8.49</v>
      </c>
      <c r="H4">
        <f>F4/G4</f>
        <v>1.8786808009422848</v>
      </c>
      <c r="I4">
        <v>14.12</v>
      </c>
      <c r="J4">
        <v>4.4400000000000004</v>
      </c>
      <c r="K4">
        <f>I4/J4</f>
        <v>3.1801801801801797</v>
      </c>
      <c r="L4">
        <v>3.32</v>
      </c>
      <c r="M4">
        <v>0.79</v>
      </c>
      <c r="N4">
        <f t="shared" ref="N4:N6" si="0">L4/M4</f>
        <v>4.2025316455696196</v>
      </c>
      <c r="O4">
        <v>12.96</v>
      </c>
      <c r="P4">
        <v>4.17</v>
      </c>
      <c r="Q4">
        <f>O4/P4</f>
        <v>3.1079136690647484</v>
      </c>
      <c r="R4">
        <v>3.16</v>
      </c>
      <c r="S4">
        <v>0.83</v>
      </c>
      <c r="T4">
        <f t="shared" ref="T4:T6" si="1">R4/S4</f>
        <v>3.8072289156626509</v>
      </c>
      <c r="U4">
        <v>15.78</v>
      </c>
      <c r="V4">
        <v>7.33</v>
      </c>
      <c r="W4">
        <f t="shared" ref="W4:W5" si="2">U4/V4</f>
        <v>2.1527967257844476</v>
      </c>
      <c r="AA4">
        <v>17.440000000000001</v>
      </c>
      <c r="AB4">
        <v>8.27</v>
      </c>
      <c r="AC4">
        <f t="shared" ref="AC4:AC11" si="3">AA4/AB4</f>
        <v>2.1088270858524791</v>
      </c>
      <c r="AD4">
        <v>29.93</v>
      </c>
      <c r="AE4">
        <v>10.53</v>
      </c>
      <c r="AF4">
        <f t="shared" ref="AF4:AF11" si="4">AD4/AE4</f>
        <v>2.842355175688509</v>
      </c>
    </row>
    <row r="5" spans="1:32" x14ac:dyDescent="0.2">
      <c r="A5" t="s">
        <v>3</v>
      </c>
      <c r="B5" t="s">
        <v>1</v>
      </c>
      <c r="C5">
        <v>20.92</v>
      </c>
      <c r="D5">
        <v>10.52</v>
      </c>
      <c r="E5">
        <f t="shared" ref="E5:E11" si="5">C5/D5</f>
        <v>1.9885931558935364</v>
      </c>
      <c r="F5">
        <v>18.399999999999999</v>
      </c>
      <c r="G5">
        <v>9.34</v>
      </c>
      <c r="H5">
        <f t="shared" ref="H5:H6" si="6">F5/G5</f>
        <v>1.970021413276231</v>
      </c>
      <c r="I5">
        <v>11.87</v>
      </c>
      <c r="J5">
        <v>4.91</v>
      </c>
      <c r="K5">
        <f>I5/J5</f>
        <v>2.4175152749490834</v>
      </c>
      <c r="L5">
        <v>2.08</v>
      </c>
      <c r="M5">
        <v>0.59</v>
      </c>
      <c r="N5">
        <f t="shared" si="0"/>
        <v>3.5254237288135597</v>
      </c>
      <c r="O5">
        <v>5.79</v>
      </c>
      <c r="P5">
        <v>3.46</v>
      </c>
      <c r="Q5">
        <f>O5/P5</f>
        <v>1.6734104046242775</v>
      </c>
      <c r="R5">
        <v>2.82</v>
      </c>
      <c r="S5">
        <v>0.7</v>
      </c>
      <c r="T5">
        <f t="shared" si="1"/>
        <v>4.0285714285714285</v>
      </c>
      <c r="U5">
        <v>9.5</v>
      </c>
      <c r="V5">
        <v>6.22</v>
      </c>
      <c r="W5">
        <f t="shared" si="2"/>
        <v>1.527331189710611</v>
      </c>
      <c r="X5" s="1">
        <v>5.79</v>
      </c>
      <c r="Y5">
        <v>3.75</v>
      </c>
      <c r="Z5">
        <f>X5/Y5</f>
        <v>1.544</v>
      </c>
      <c r="AA5">
        <v>10.39</v>
      </c>
      <c r="AB5">
        <v>7.26</v>
      </c>
      <c r="AC5">
        <f t="shared" si="3"/>
        <v>1.4311294765840221</v>
      </c>
      <c r="AD5">
        <v>12.76</v>
      </c>
      <c r="AE5">
        <v>9.2899999999999991</v>
      </c>
      <c r="AF5">
        <f t="shared" si="4"/>
        <v>1.3735199138858989</v>
      </c>
    </row>
    <row r="6" spans="1:32" x14ac:dyDescent="0.2">
      <c r="B6" t="s">
        <v>2</v>
      </c>
      <c r="C6">
        <v>13.54</v>
      </c>
      <c r="D6">
        <v>8.9700000000000006</v>
      </c>
      <c r="E6">
        <f t="shared" si="5"/>
        <v>1.5094760312151614</v>
      </c>
      <c r="F6">
        <v>10.83</v>
      </c>
      <c r="G6">
        <v>7.83</v>
      </c>
      <c r="H6">
        <f t="shared" si="6"/>
        <v>1.3831417624521072</v>
      </c>
      <c r="I6">
        <v>7.54</v>
      </c>
      <c r="J6">
        <v>4.0599999999999996</v>
      </c>
      <c r="K6">
        <f>I6/J6</f>
        <v>1.8571428571428574</v>
      </c>
      <c r="L6">
        <v>2.9</v>
      </c>
      <c r="M6">
        <v>0.98</v>
      </c>
      <c r="N6">
        <f t="shared" si="0"/>
        <v>2.9591836734693877</v>
      </c>
      <c r="O6">
        <v>11.03</v>
      </c>
      <c r="P6">
        <v>4.62</v>
      </c>
      <c r="Q6">
        <f>O6/P6</f>
        <v>2.387445887445887</v>
      </c>
      <c r="R6">
        <v>3.68</v>
      </c>
      <c r="S6">
        <v>1.0900000000000001</v>
      </c>
      <c r="T6">
        <f t="shared" si="1"/>
        <v>3.3761467889908254</v>
      </c>
      <c r="U6">
        <v>13.73</v>
      </c>
      <c r="V6">
        <v>7.99</v>
      </c>
      <c r="W6">
        <f>U6/V6</f>
        <v>1.7183979974968711</v>
      </c>
      <c r="X6">
        <v>7.74</v>
      </c>
      <c r="Y6">
        <v>3.82</v>
      </c>
      <c r="Z6">
        <f>X6/Y6</f>
        <v>2.0261780104712042</v>
      </c>
      <c r="AA6">
        <v>16.05</v>
      </c>
      <c r="AB6">
        <v>9.35</v>
      </c>
      <c r="AC6">
        <f t="shared" si="3"/>
        <v>1.7165775401069521</v>
      </c>
      <c r="AD6">
        <v>19.34</v>
      </c>
      <c r="AE6">
        <v>11.81</v>
      </c>
      <c r="AF6">
        <f t="shared" si="4"/>
        <v>1.6375952582557154</v>
      </c>
    </row>
    <row r="8" spans="1:32" x14ac:dyDescent="0.2">
      <c r="A8" t="s">
        <v>23</v>
      </c>
      <c r="B8" t="s">
        <v>1</v>
      </c>
      <c r="C8">
        <v>19.64</v>
      </c>
      <c r="D8">
        <v>9.48</v>
      </c>
      <c r="E8">
        <f t="shared" si="5"/>
        <v>2.071729957805907</v>
      </c>
      <c r="F8">
        <v>15.76</v>
      </c>
      <c r="G8">
        <v>8.4</v>
      </c>
      <c r="H8">
        <f t="shared" ref="H8:H10" si="7">F8/G8</f>
        <v>1.8761904761904762</v>
      </c>
      <c r="I8">
        <v>13.13</v>
      </c>
      <c r="J8">
        <v>4.34</v>
      </c>
      <c r="K8">
        <f t="shared" ref="K8:K11" si="8">I8/J8</f>
        <v>3.0253456221198158</v>
      </c>
      <c r="L8">
        <v>3.78</v>
      </c>
      <c r="M8">
        <v>0.83</v>
      </c>
      <c r="N8">
        <f t="shared" ref="N8:N9" si="9">L8/M8</f>
        <v>4.5542168674698793</v>
      </c>
      <c r="O8">
        <v>10.66</v>
      </c>
      <c r="P8">
        <v>3.69</v>
      </c>
      <c r="Q8">
        <f t="shared" ref="Q8:Q11" si="10">O8/P8</f>
        <v>2.8888888888888888</v>
      </c>
      <c r="R8">
        <v>3.73</v>
      </c>
      <c r="S8">
        <v>0.8</v>
      </c>
      <c r="T8">
        <f t="shared" ref="T8:T9" si="11">R8/S8</f>
        <v>4.6624999999999996</v>
      </c>
      <c r="U8">
        <v>14.08</v>
      </c>
      <c r="V8">
        <v>6.66</v>
      </c>
      <c r="W8">
        <f t="shared" ref="W8:W9" si="12">U8/V8</f>
        <v>2.114114114114114</v>
      </c>
      <c r="X8">
        <v>6.51</v>
      </c>
      <c r="Y8">
        <v>3.96</v>
      </c>
      <c r="Z8">
        <f t="shared" ref="Z8:Z11" si="13">X8/Y8</f>
        <v>1.6439393939393938</v>
      </c>
      <c r="AA8">
        <v>21.06</v>
      </c>
      <c r="AB8">
        <v>8.42</v>
      </c>
      <c r="AC8">
        <f t="shared" si="3"/>
        <v>2.5011876484560567</v>
      </c>
      <c r="AD8">
        <v>24.84</v>
      </c>
      <c r="AE8">
        <v>10.72</v>
      </c>
      <c r="AF8">
        <f t="shared" si="4"/>
        <v>2.3171641791044775</v>
      </c>
    </row>
    <row r="9" spans="1:32" x14ac:dyDescent="0.2">
      <c r="B9" t="s">
        <v>2</v>
      </c>
      <c r="C9">
        <v>27.32</v>
      </c>
      <c r="D9">
        <v>10.37</v>
      </c>
      <c r="E9">
        <f t="shared" si="5"/>
        <v>2.6345226615236261</v>
      </c>
      <c r="F9">
        <v>21.14</v>
      </c>
      <c r="G9">
        <v>9.1999999999999993</v>
      </c>
      <c r="H9">
        <f t="shared" si="7"/>
        <v>2.2978260869565221</v>
      </c>
      <c r="I9">
        <v>19.22</v>
      </c>
      <c r="J9">
        <v>4.8099999999999996</v>
      </c>
      <c r="K9">
        <f t="shared" si="8"/>
        <v>3.995841995841996</v>
      </c>
      <c r="L9">
        <v>2.77</v>
      </c>
      <c r="M9">
        <v>0.79</v>
      </c>
      <c r="N9">
        <f t="shared" si="9"/>
        <v>3.5063291139240507</v>
      </c>
      <c r="O9">
        <v>12.58</v>
      </c>
      <c r="P9">
        <v>4.29</v>
      </c>
      <c r="Q9">
        <f t="shared" si="10"/>
        <v>2.9324009324009324</v>
      </c>
      <c r="R9">
        <v>3.16</v>
      </c>
      <c r="S9">
        <v>0.89</v>
      </c>
      <c r="T9">
        <f t="shared" si="11"/>
        <v>3.5505617977528092</v>
      </c>
      <c r="U9">
        <v>16.940000000000001</v>
      </c>
      <c r="V9">
        <v>7.38</v>
      </c>
      <c r="W9">
        <f t="shared" si="12"/>
        <v>2.2953929539295395</v>
      </c>
      <c r="X9">
        <v>5.83</v>
      </c>
      <c r="Y9">
        <v>3.9</v>
      </c>
      <c r="Z9">
        <f t="shared" si="13"/>
        <v>1.4948717948717949</v>
      </c>
      <c r="AA9">
        <v>18.510000000000002</v>
      </c>
      <c r="AB9">
        <v>8.19</v>
      </c>
      <c r="AC9">
        <f t="shared" si="3"/>
        <v>2.2600732600732605</v>
      </c>
      <c r="AD9">
        <v>22.88</v>
      </c>
      <c r="AE9">
        <v>10.38</v>
      </c>
      <c r="AF9">
        <f t="shared" si="4"/>
        <v>2.2042389210019264</v>
      </c>
    </row>
    <row r="10" spans="1:32" x14ac:dyDescent="0.2">
      <c r="A10" t="s">
        <v>24</v>
      </c>
      <c r="B10" t="s">
        <v>1</v>
      </c>
      <c r="C10">
        <v>25</v>
      </c>
      <c r="D10">
        <v>11.97</v>
      </c>
      <c r="E10">
        <f t="shared" si="5"/>
        <v>2.0885547201336676</v>
      </c>
      <c r="F10">
        <v>21.25</v>
      </c>
      <c r="G10">
        <v>10.69</v>
      </c>
      <c r="H10">
        <f t="shared" si="7"/>
        <v>1.9878391019644528</v>
      </c>
      <c r="I10">
        <v>17.5</v>
      </c>
      <c r="J10">
        <v>5.34</v>
      </c>
      <c r="K10">
        <f t="shared" si="8"/>
        <v>3.2771535580524347</v>
      </c>
      <c r="AD10">
        <v>12.5</v>
      </c>
      <c r="AE10">
        <v>6.27</v>
      </c>
      <c r="AF10">
        <f t="shared" si="4"/>
        <v>1.9936204146730463</v>
      </c>
    </row>
    <row r="11" spans="1:32" x14ac:dyDescent="0.2">
      <c r="B11" t="s">
        <v>2</v>
      </c>
      <c r="C11">
        <v>24.39</v>
      </c>
      <c r="D11">
        <v>9.4</v>
      </c>
      <c r="E11">
        <f t="shared" si="5"/>
        <v>2.59468085106383</v>
      </c>
      <c r="I11">
        <v>15.85</v>
      </c>
      <c r="J11">
        <v>4.4800000000000004</v>
      </c>
      <c r="K11">
        <f t="shared" si="8"/>
        <v>3.5379464285714279</v>
      </c>
      <c r="O11">
        <v>15.85</v>
      </c>
      <c r="P11">
        <v>4.4400000000000004</v>
      </c>
      <c r="Q11">
        <f t="shared" si="10"/>
        <v>3.5698198198198194</v>
      </c>
      <c r="U11">
        <v>23.17</v>
      </c>
      <c r="V11">
        <v>7.42</v>
      </c>
      <c r="W11">
        <f t="shared" ref="W11" si="14">U11/V11</f>
        <v>3.1226415094339623</v>
      </c>
      <c r="X11">
        <v>12.2</v>
      </c>
      <c r="Y11">
        <v>4.0599999999999996</v>
      </c>
      <c r="Z11">
        <f t="shared" si="13"/>
        <v>3.0049261083743843</v>
      </c>
      <c r="AA11">
        <v>18.29</v>
      </c>
      <c r="AB11">
        <v>8.11</v>
      </c>
      <c r="AC11">
        <f t="shared" si="3"/>
        <v>2.2552404438964242</v>
      </c>
      <c r="AD11">
        <v>24.39</v>
      </c>
      <c r="AE11">
        <v>10.55</v>
      </c>
      <c r="AF11">
        <f t="shared" si="4"/>
        <v>2.3118483412322273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79999-8B0D-5746-ACB3-B0136CB160F8}">
  <dimension ref="A1:J5"/>
  <sheetViews>
    <sheetView workbookViewId="0">
      <selection activeCell="D21" sqref="D21"/>
    </sheetView>
  </sheetViews>
  <sheetFormatPr baseColWidth="10" defaultRowHeight="16" x14ac:dyDescent="0.2"/>
  <sheetData>
    <row r="1" spans="1:10" x14ac:dyDescent="0.2">
      <c r="B1" t="s">
        <v>4</v>
      </c>
      <c r="C1" t="s">
        <v>7</v>
      </c>
      <c r="D1" t="s">
        <v>6</v>
      </c>
      <c r="E1" t="s">
        <v>8</v>
      </c>
      <c r="F1" t="s">
        <v>22</v>
      </c>
      <c r="G1" t="s">
        <v>5</v>
      </c>
      <c r="H1" t="s">
        <v>9</v>
      </c>
      <c r="I1" t="s">
        <v>10</v>
      </c>
      <c r="J1" t="s">
        <v>15</v>
      </c>
    </row>
    <row r="2" spans="1:10" x14ac:dyDescent="0.2">
      <c r="A2" t="s">
        <v>16</v>
      </c>
      <c r="B2">
        <v>1.6551383399209487</v>
      </c>
      <c r="C2">
        <v>1.7126696832579187</v>
      </c>
      <c r="D2">
        <v>3.8666666666666667</v>
      </c>
      <c r="E2">
        <v>3.3947368421052633</v>
      </c>
      <c r="F2">
        <v>1.9868766404199476</v>
      </c>
      <c r="G2">
        <v>1.958071278825996</v>
      </c>
      <c r="H2">
        <v>2.3705722070844684</v>
      </c>
      <c r="I2">
        <v>1.9314641744548287</v>
      </c>
      <c r="J2">
        <v>1.6064690026954178</v>
      </c>
    </row>
    <row r="3" spans="1:10" x14ac:dyDescent="0.2">
      <c r="A3" t="s">
        <v>17</v>
      </c>
      <c r="B3">
        <v>2.3224489795918366</v>
      </c>
      <c r="C3">
        <v>1.8786808009422848</v>
      </c>
      <c r="D3">
        <v>4.2025316455696196</v>
      </c>
      <c r="E3">
        <v>3.8072289156626509</v>
      </c>
      <c r="F3">
        <v>2.1088270858524791</v>
      </c>
      <c r="G3">
        <v>3.1801801801801797</v>
      </c>
      <c r="H3">
        <v>3.1079136690647484</v>
      </c>
      <c r="I3">
        <v>2.1527967257844476</v>
      </c>
      <c r="J3">
        <v>0</v>
      </c>
    </row>
    <row r="4" spans="1:10" x14ac:dyDescent="0.2">
      <c r="A4" t="s">
        <v>18</v>
      </c>
      <c r="B4">
        <v>1.9885931558935364</v>
      </c>
      <c r="C4">
        <v>1.970021413276231</v>
      </c>
      <c r="D4">
        <v>3.5254237288135597</v>
      </c>
      <c r="E4">
        <v>4.0285714285714285</v>
      </c>
      <c r="F4">
        <v>1.4311294765840221</v>
      </c>
      <c r="G4">
        <v>2.4175152749490834</v>
      </c>
      <c r="H4">
        <v>1.6734104046242775</v>
      </c>
      <c r="I4">
        <v>1.527331189710611</v>
      </c>
      <c r="J4">
        <v>1.544</v>
      </c>
    </row>
    <row r="5" spans="1:10" x14ac:dyDescent="0.2">
      <c r="A5" t="s">
        <v>19</v>
      </c>
      <c r="B5">
        <v>1.5094760312151614</v>
      </c>
      <c r="C5">
        <v>1.3831417624521072</v>
      </c>
      <c r="D5">
        <v>2.9591836734693877</v>
      </c>
      <c r="E5">
        <v>3.3761467889908254</v>
      </c>
      <c r="F5">
        <v>1.7165775401069521</v>
      </c>
      <c r="G5">
        <v>1.8571428571428574</v>
      </c>
      <c r="H5">
        <v>2.387445887445887</v>
      </c>
      <c r="I5">
        <v>1.7183979974968711</v>
      </c>
      <c r="J5">
        <v>2.0261780104712042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896D5-C67B-8C4F-897D-F85A7DC889E6}">
  <dimension ref="A1:J5"/>
  <sheetViews>
    <sheetView workbookViewId="0">
      <selection activeCell="F5" sqref="F5"/>
    </sheetView>
  </sheetViews>
  <sheetFormatPr baseColWidth="10" defaultRowHeight="16" x14ac:dyDescent="0.2"/>
  <sheetData>
    <row r="1" spans="1:10" x14ac:dyDescent="0.2">
      <c r="B1" t="s">
        <v>4</v>
      </c>
      <c r="C1" t="s">
        <v>7</v>
      </c>
      <c r="D1" t="s">
        <v>6</v>
      </c>
      <c r="E1" t="s">
        <v>8</v>
      </c>
      <c r="F1" t="s">
        <v>22</v>
      </c>
      <c r="G1" t="s">
        <v>5</v>
      </c>
      <c r="H1" t="s">
        <v>9</v>
      </c>
      <c r="I1" t="s">
        <v>10</v>
      </c>
      <c r="J1" t="s">
        <v>15</v>
      </c>
    </row>
    <row r="2" spans="1:10" x14ac:dyDescent="0.2">
      <c r="A2" t="s">
        <v>16</v>
      </c>
      <c r="B2">
        <v>16.75</v>
      </c>
      <c r="C2">
        <v>15.14</v>
      </c>
      <c r="D2">
        <v>2.9</v>
      </c>
      <c r="E2">
        <v>2.58</v>
      </c>
      <c r="F2">
        <v>15.14</v>
      </c>
      <c r="G2">
        <v>9.34</v>
      </c>
      <c r="H2">
        <v>8.6999999999999993</v>
      </c>
      <c r="I2">
        <v>12.4</v>
      </c>
      <c r="J2">
        <v>5.96</v>
      </c>
    </row>
    <row r="3" spans="1:10" x14ac:dyDescent="0.2">
      <c r="A3" t="s">
        <v>17</v>
      </c>
      <c r="B3">
        <v>22.76</v>
      </c>
      <c r="C3">
        <v>15.95</v>
      </c>
      <c r="D3">
        <v>3.32</v>
      </c>
      <c r="E3">
        <v>3.16</v>
      </c>
      <c r="F3">
        <v>17.440000000000001</v>
      </c>
      <c r="G3">
        <v>14.12</v>
      </c>
      <c r="H3">
        <v>12.96</v>
      </c>
      <c r="I3">
        <v>15.78</v>
      </c>
      <c r="J3">
        <v>0</v>
      </c>
    </row>
    <row r="4" spans="1:10" x14ac:dyDescent="0.2">
      <c r="A4" t="s">
        <v>18</v>
      </c>
      <c r="B4">
        <v>20.92</v>
      </c>
      <c r="C4">
        <v>18.399999999999999</v>
      </c>
      <c r="D4">
        <v>2.08</v>
      </c>
      <c r="E4">
        <v>2.82</v>
      </c>
      <c r="F4">
        <v>10.39</v>
      </c>
      <c r="G4">
        <v>11.87</v>
      </c>
      <c r="H4">
        <v>5.79</v>
      </c>
      <c r="I4">
        <v>9.5</v>
      </c>
      <c r="J4" s="1">
        <v>5.79</v>
      </c>
    </row>
    <row r="5" spans="1:10" x14ac:dyDescent="0.2">
      <c r="A5" t="s">
        <v>19</v>
      </c>
      <c r="B5">
        <v>13.54</v>
      </c>
      <c r="C5">
        <v>10.83</v>
      </c>
      <c r="D5">
        <v>2.9</v>
      </c>
      <c r="E5">
        <v>3.68</v>
      </c>
      <c r="F5">
        <v>16.05</v>
      </c>
      <c r="G5">
        <v>7.54</v>
      </c>
      <c r="H5">
        <v>11.03</v>
      </c>
      <c r="I5">
        <v>13.73</v>
      </c>
      <c r="J5">
        <v>7.74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BC651-2FC2-DD44-BD50-AECA30B69F10}">
  <dimension ref="A1:J5"/>
  <sheetViews>
    <sheetView workbookViewId="0">
      <selection activeCell="I20" sqref="I20"/>
    </sheetView>
  </sheetViews>
  <sheetFormatPr baseColWidth="10" defaultRowHeight="16" x14ac:dyDescent="0.2"/>
  <sheetData>
    <row r="1" spans="1:10" x14ac:dyDescent="0.2">
      <c r="B1" t="s">
        <v>4</v>
      </c>
      <c r="C1" t="s">
        <v>7</v>
      </c>
      <c r="D1" t="s">
        <v>6</v>
      </c>
      <c r="E1" t="s">
        <v>8</v>
      </c>
      <c r="F1" t="s">
        <v>20</v>
      </c>
      <c r="G1" t="s">
        <v>5</v>
      </c>
      <c r="H1" t="s">
        <v>9</v>
      </c>
      <c r="I1" t="s">
        <v>10</v>
      </c>
      <c r="J1" t="s">
        <v>14</v>
      </c>
    </row>
    <row r="2" spans="1:10" x14ac:dyDescent="0.2">
      <c r="A2" t="s">
        <v>25</v>
      </c>
      <c r="B2">
        <v>2.071729957805907</v>
      </c>
      <c r="C2">
        <v>1.8761904761904762</v>
      </c>
      <c r="D2">
        <v>4.5542168674698793</v>
      </c>
      <c r="E2">
        <v>4.6624999999999996</v>
      </c>
      <c r="F2">
        <v>2.5011876484560567</v>
      </c>
      <c r="G2">
        <v>3.0253456221198158</v>
      </c>
      <c r="H2">
        <v>2.8888888888888888</v>
      </c>
      <c r="I2">
        <v>2.114114114114114</v>
      </c>
      <c r="J2">
        <v>1.6439393939393938</v>
      </c>
    </row>
    <row r="3" spans="1:10" x14ac:dyDescent="0.2">
      <c r="A3" t="s">
        <v>26</v>
      </c>
      <c r="B3">
        <v>2.6345226615236261</v>
      </c>
      <c r="C3">
        <v>2.2978260869565221</v>
      </c>
      <c r="D3">
        <v>3.5063291139240507</v>
      </c>
      <c r="E3">
        <v>3.5505617977528092</v>
      </c>
      <c r="F3">
        <v>2.2600732600732605</v>
      </c>
      <c r="G3">
        <v>3.995841995841996</v>
      </c>
      <c r="H3">
        <v>2.9324009324009324</v>
      </c>
      <c r="I3">
        <v>2.2953929539295395</v>
      </c>
      <c r="J3">
        <v>1.4948717948717949</v>
      </c>
    </row>
    <row r="4" spans="1:10" x14ac:dyDescent="0.2">
      <c r="A4" t="s">
        <v>27</v>
      </c>
      <c r="B4">
        <v>2.0885547201336676</v>
      </c>
      <c r="C4">
        <v>1.9878391019644528</v>
      </c>
      <c r="G4">
        <v>3.2771535580524347</v>
      </c>
    </row>
    <row r="5" spans="1:10" x14ac:dyDescent="0.2">
      <c r="A5" t="s">
        <v>28</v>
      </c>
      <c r="B5">
        <v>2.59468085106383</v>
      </c>
      <c r="F5">
        <v>2.2552404438964242</v>
      </c>
      <c r="G5">
        <v>3.5379464285714279</v>
      </c>
      <c r="H5">
        <v>3.5698198198198194</v>
      </c>
      <c r="I5">
        <v>3.1226415094339623</v>
      </c>
      <c r="J5">
        <v>3.0049261083743843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4B4A2-373A-C043-807C-B5CE63AE0CCA}">
  <dimension ref="A1:J5"/>
  <sheetViews>
    <sheetView tabSelected="1" workbookViewId="0">
      <selection activeCell="I20" sqref="I20"/>
    </sheetView>
  </sheetViews>
  <sheetFormatPr baseColWidth="10" defaultRowHeight="16" x14ac:dyDescent="0.2"/>
  <sheetData>
    <row r="1" spans="1:10" x14ac:dyDescent="0.2">
      <c r="B1" t="s">
        <v>4</v>
      </c>
      <c r="C1" t="s">
        <v>7</v>
      </c>
      <c r="D1" t="s">
        <v>6</v>
      </c>
      <c r="E1" t="s">
        <v>8</v>
      </c>
      <c r="F1" t="s">
        <v>20</v>
      </c>
      <c r="G1" t="s">
        <v>5</v>
      </c>
      <c r="H1" t="s">
        <v>9</v>
      </c>
      <c r="I1" t="s">
        <v>10</v>
      </c>
      <c r="J1" t="s">
        <v>14</v>
      </c>
    </row>
    <row r="2" spans="1:10" x14ac:dyDescent="0.2">
      <c r="A2" t="s">
        <v>25</v>
      </c>
      <c r="B2">
        <v>19.64</v>
      </c>
      <c r="C2">
        <v>15.76</v>
      </c>
      <c r="D2">
        <v>3.78</v>
      </c>
      <c r="E2">
        <v>3.73</v>
      </c>
      <c r="F2">
        <v>21.06</v>
      </c>
      <c r="G2">
        <v>13.13</v>
      </c>
      <c r="H2">
        <v>10.66</v>
      </c>
      <c r="I2">
        <v>14.08</v>
      </c>
      <c r="J2">
        <v>6.51</v>
      </c>
    </row>
    <row r="3" spans="1:10" x14ac:dyDescent="0.2">
      <c r="A3" t="s">
        <v>26</v>
      </c>
      <c r="B3">
        <v>27.32</v>
      </c>
      <c r="C3">
        <v>21.14</v>
      </c>
      <c r="D3">
        <v>2.77</v>
      </c>
      <c r="E3">
        <v>3.16</v>
      </c>
      <c r="F3">
        <v>18.510000000000002</v>
      </c>
      <c r="G3">
        <v>19.22</v>
      </c>
      <c r="H3">
        <v>12.58</v>
      </c>
      <c r="I3">
        <v>16.940000000000001</v>
      </c>
      <c r="J3">
        <v>5.83</v>
      </c>
    </row>
    <row r="4" spans="1:10" x14ac:dyDescent="0.2">
      <c r="A4" t="s">
        <v>27</v>
      </c>
      <c r="B4">
        <v>25</v>
      </c>
      <c r="C4">
        <v>21.25</v>
      </c>
      <c r="G4">
        <v>17.5</v>
      </c>
    </row>
    <row r="5" spans="1:10" x14ac:dyDescent="0.2">
      <c r="A5" t="s">
        <v>28</v>
      </c>
      <c r="B5">
        <v>24.39</v>
      </c>
      <c r="F5">
        <v>18.29</v>
      </c>
      <c r="G5">
        <v>15.85</v>
      </c>
      <c r="H5">
        <v>15.85</v>
      </c>
      <c r="I5">
        <v>23.17</v>
      </c>
      <c r="J5">
        <v>12.2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</vt:lpstr>
      <vt:lpstr>Enrichment F1</vt:lpstr>
      <vt:lpstr>Target F1</vt:lpstr>
      <vt:lpstr>Enrichment F0</vt:lpstr>
      <vt:lpstr>Target F0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 Christoph Steg (lsteg)</dc:creator>
  <cp:lastModifiedBy>Leonard Christoph Steg (lsteg)</cp:lastModifiedBy>
  <dcterms:created xsi:type="dcterms:W3CDTF">2024-11-05T14:22:51Z</dcterms:created>
  <dcterms:modified xsi:type="dcterms:W3CDTF">2026-06-10T14:04:17Z</dcterms:modified>
</cp:coreProperties>
</file>